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filterPrivacy="1" defaultThemeVersion="164011"/>
  <bookViews>
    <workbookView xWindow="1872" yWindow="0" windowWidth="22260" windowHeight="12648"/>
  </bookViews>
  <sheets>
    <sheet name="Лаб 3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L84" i="1" l="1"/>
  <c r="K86" i="1"/>
  <c r="K87" i="1"/>
  <c r="K88" i="1"/>
  <c r="K89" i="1"/>
  <c r="K90" i="1"/>
  <c r="K91" i="1"/>
  <c r="K92" i="1"/>
  <c r="K93" i="1"/>
  <c r="K85" i="1"/>
  <c r="I86" i="1"/>
  <c r="I87" i="1"/>
  <c r="J84" i="1" s="1"/>
  <c r="I88" i="1"/>
  <c r="I89" i="1"/>
  <c r="I90" i="1"/>
  <c r="I91" i="1"/>
  <c r="I92" i="1"/>
  <c r="I93" i="1"/>
  <c r="I85" i="1"/>
  <c r="N62" i="1"/>
  <c r="N63" i="1"/>
  <c r="N64" i="1"/>
  <c r="N65" i="1"/>
  <c r="N66" i="1"/>
  <c r="N67" i="1"/>
  <c r="N68" i="1"/>
  <c r="N69" i="1"/>
  <c r="N61" i="1"/>
  <c r="W73" i="1"/>
  <c r="U74" i="1"/>
  <c r="U73" i="1"/>
  <c r="S75" i="1"/>
  <c r="S74" i="1"/>
  <c r="S73" i="1"/>
  <c r="Q76" i="1"/>
  <c r="Q75" i="1"/>
  <c r="Q74" i="1"/>
  <c r="Q73" i="1"/>
  <c r="O76" i="1"/>
  <c r="O77" i="1"/>
  <c r="O75" i="1"/>
  <c r="O74" i="1"/>
  <c r="O73" i="1"/>
  <c r="M76" i="1"/>
  <c r="M77" i="1"/>
  <c r="M78" i="1"/>
  <c r="M74" i="1"/>
  <c r="M75" i="1"/>
  <c r="M73" i="1"/>
  <c r="K78" i="1"/>
  <c r="K79" i="1"/>
  <c r="K77" i="1"/>
  <c r="K74" i="1"/>
  <c r="K75" i="1"/>
  <c r="K73" i="1"/>
  <c r="K76" i="1"/>
  <c r="I79" i="1"/>
  <c r="I75" i="1"/>
  <c r="I76" i="1"/>
  <c r="I77" i="1"/>
  <c r="I78" i="1"/>
  <c r="I80" i="1"/>
  <c r="I74" i="1"/>
  <c r="I73" i="1"/>
  <c r="P62" i="1"/>
  <c r="P63" i="1"/>
  <c r="P64" i="1"/>
  <c r="P65" i="1"/>
  <c r="P66" i="1"/>
  <c r="P67" i="1"/>
  <c r="P68" i="1"/>
  <c r="P69" i="1"/>
  <c r="P61" i="1"/>
  <c r="Q60" i="1" s="1"/>
  <c r="N49" i="1"/>
  <c r="J52" i="1"/>
  <c r="L51" i="1" s="1"/>
  <c r="J51" i="1"/>
  <c r="J50" i="1"/>
  <c r="L50" i="1" s="1"/>
  <c r="N50" i="1" s="1"/>
  <c r="J49" i="1"/>
  <c r="L49" i="1" s="1"/>
  <c r="O60" i="1" l="1"/>
  <c r="P49" i="1"/>
  <c r="G25" i="1"/>
  <c r="G26" i="1"/>
  <c r="G27" i="1"/>
  <c r="G28" i="1"/>
  <c r="G29" i="1"/>
  <c r="G30" i="1"/>
  <c r="G24" i="1"/>
  <c r="R24" i="1"/>
  <c r="T24" i="1" s="1"/>
  <c r="P24" i="1"/>
  <c r="N24" i="1"/>
  <c r="L24" i="1"/>
  <c r="J27" i="1"/>
</calcChain>
</file>

<file path=xl/sharedStrings.xml><?xml version="1.0" encoding="utf-8"?>
<sst xmlns="http://schemas.openxmlformats.org/spreadsheetml/2006/main" count="259" uniqueCount="70">
  <si>
    <t>Задание 1</t>
  </si>
  <si>
    <t>а</t>
  </si>
  <si>
    <t>в</t>
  </si>
  <si>
    <t>л</t>
  </si>
  <si>
    <t>и</t>
  </si>
  <si>
    <t>е</t>
  </si>
  <si>
    <t>с</t>
  </si>
  <si>
    <t>к</t>
  </si>
  <si>
    <t>Символ</t>
  </si>
  <si>
    <t>Код</t>
  </si>
  <si>
    <t>Задание 2</t>
  </si>
  <si>
    <t>Вероятность</t>
  </si>
  <si>
    <t>а1</t>
  </si>
  <si>
    <t>а2</t>
  </si>
  <si>
    <t>а3</t>
  </si>
  <si>
    <t>а4</t>
  </si>
  <si>
    <t>а5</t>
  </si>
  <si>
    <t>а6</t>
  </si>
  <si>
    <t>а7</t>
  </si>
  <si>
    <t>Вероятность появления</t>
  </si>
  <si>
    <t>прим.</t>
  </si>
  <si>
    <t>оранж</t>
  </si>
  <si>
    <t>слагаемые</t>
  </si>
  <si>
    <t>сумма</t>
  </si>
  <si>
    <t>красное</t>
  </si>
  <si>
    <t>1</t>
  </si>
  <si>
    <t>00</t>
  </si>
  <si>
    <t>01</t>
  </si>
  <si>
    <t>10</t>
  </si>
  <si>
    <t>11</t>
  </si>
  <si>
    <t>001</t>
  </si>
  <si>
    <t>000</t>
  </si>
  <si>
    <t>010</t>
  </si>
  <si>
    <t>011</t>
  </si>
  <si>
    <t>0010</t>
  </si>
  <si>
    <t>0011</t>
  </si>
  <si>
    <t>101</t>
  </si>
  <si>
    <t>100</t>
  </si>
  <si>
    <t>110</t>
  </si>
  <si>
    <t>111</t>
  </si>
  <si>
    <t>Задание 3</t>
  </si>
  <si>
    <t>вероятности</t>
  </si>
  <si>
    <t>код</t>
  </si>
  <si>
    <t>символы кода</t>
  </si>
  <si>
    <t>1110</t>
  </si>
  <si>
    <t>1111</t>
  </si>
  <si>
    <t>Вероятности</t>
  </si>
  <si>
    <t>Символы кода</t>
  </si>
  <si>
    <t>Задание 4</t>
  </si>
  <si>
    <t>X1</t>
  </si>
  <si>
    <t>X2</t>
  </si>
  <si>
    <t>X3</t>
  </si>
  <si>
    <t>X4</t>
  </si>
  <si>
    <t>X5</t>
  </si>
  <si>
    <t>X6</t>
  </si>
  <si>
    <t>X7</t>
  </si>
  <si>
    <t>X8</t>
  </si>
  <si>
    <t>X9</t>
  </si>
  <si>
    <t>1100</t>
  </si>
  <si>
    <t>1101</t>
  </si>
  <si>
    <t>11110</t>
  </si>
  <si>
    <t>11111</t>
  </si>
  <si>
    <t>Энтропия</t>
  </si>
  <si>
    <t>длина слова</t>
  </si>
  <si>
    <t>вероятность появления</t>
  </si>
  <si>
    <t>1000</t>
  </si>
  <si>
    <t>1001</t>
  </si>
  <si>
    <t>10000</t>
  </si>
  <si>
    <t>10001</t>
  </si>
  <si>
    <t>Длина слова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</si>
</sst>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0.0"/>
  </numFmts>
  <fonts count="2" x14ac:knownFonts="1">
    <font>
      <sz val="11"/>
      <color theme="1"/>
      <name val="Calibri"/>
      <family val="2"/>
      <scheme val="minor"/>
    </font>
    <font>
      <sz val="11"/>
      <color rgb="FFFF0000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C000"/>
        <bgColor indexed="64"/>
      </patternFill>
    </fill>
  </fills>
  <borders count="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39">
    <xf numFmtId="0" fontId="0" fillId="0" borderId="0" xfId="0"/>
    <xf numFmtId="0" fontId="0" fillId="0" borderId="1" xfId="0" applyBorder="1"/>
    <xf numFmtId="0" fontId="0" fillId="0" borderId="2" xfId="0" applyBorder="1"/>
    <xf numFmtId="0" fontId="0" fillId="0" borderId="3" xfId="0" applyBorder="1"/>
    <xf numFmtId="0" fontId="0" fillId="0" borderId="0" xfId="0" applyAlignment="1">
      <alignment horizontal="center"/>
    </xf>
    <xf numFmtId="0" fontId="0" fillId="2" borderId="0" xfId="0" applyFill="1"/>
    <xf numFmtId="0" fontId="1" fillId="0" borderId="0" xfId="0" applyFont="1"/>
    <xf numFmtId="49" fontId="0" fillId="0" borderId="0" xfId="0" applyNumberFormat="1" applyAlignment="1">
      <alignment horizontal="center"/>
    </xf>
    <xf numFmtId="49" fontId="1" fillId="0" borderId="0" xfId="0" applyNumberFormat="1" applyFont="1" applyAlignment="1">
      <alignment horizontal="center"/>
    </xf>
    <xf numFmtId="49" fontId="1" fillId="2" borderId="0" xfId="0" applyNumberFormat="1" applyFont="1" applyFill="1" applyAlignment="1">
      <alignment horizontal="center"/>
    </xf>
    <xf numFmtId="164" fontId="1" fillId="0" borderId="0" xfId="0" applyNumberFormat="1" applyFont="1" applyAlignment="1">
      <alignment horizontal="center"/>
    </xf>
    <xf numFmtId="49" fontId="0" fillId="2" borderId="0" xfId="0" applyNumberFormat="1" applyFill="1" applyAlignment="1">
      <alignment horizontal="center"/>
    </xf>
    <xf numFmtId="49" fontId="0" fillId="0" borderId="1" xfId="0" applyNumberFormat="1" applyBorder="1" applyAlignment="1">
      <alignment horizontal="center"/>
    </xf>
    <xf numFmtId="49" fontId="0" fillId="0" borderId="0" xfId="0" applyNumberFormat="1" applyBorder="1" applyAlignment="1">
      <alignment horizontal="center"/>
    </xf>
    <xf numFmtId="49" fontId="0" fillId="0" borderId="6" xfId="0" applyNumberFormat="1" applyBorder="1" applyAlignment="1">
      <alignment horizontal="center"/>
    </xf>
    <xf numFmtId="49" fontId="0" fillId="0" borderId="7" xfId="0" applyNumberFormat="1" applyBorder="1" applyAlignment="1">
      <alignment horizontal="center"/>
    </xf>
    <xf numFmtId="49" fontId="0" fillId="2" borderId="7" xfId="0" applyNumberFormat="1" applyFill="1" applyBorder="1" applyAlignment="1">
      <alignment horizontal="center"/>
    </xf>
    <xf numFmtId="0" fontId="0" fillId="0" borderId="4" xfId="0" applyBorder="1" applyAlignment="1">
      <alignment horizontal="left"/>
    </xf>
    <xf numFmtId="0" fontId="0" fillId="0" borderId="5" xfId="0" applyBorder="1" applyAlignment="1">
      <alignment horizontal="left"/>
    </xf>
    <xf numFmtId="0" fontId="0" fillId="0" borderId="1" xfId="0" applyBorder="1" applyAlignment="1">
      <alignment horizontal="left"/>
    </xf>
    <xf numFmtId="0" fontId="0" fillId="0" borderId="0" xfId="0" applyAlignment="1">
      <alignment horizontal="center"/>
    </xf>
    <xf numFmtId="0" fontId="0" fillId="0" borderId="1" xfId="0" applyBorder="1" applyAlignment="1">
      <alignment horizontal="center"/>
    </xf>
    <xf numFmtId="0" fontId="0" fillId="0" borderId="1" xfId="0" applyBorder="1" applyAlignment="1">
      <alignment horizontal="center"/>
    </xf>
    <xf numFmtId="0" fontId="0" fillId="2" borderId="0" xfId="0" applyFill="1" applyAlignment="1">
      <alignment horizontal="center"/>
    </xf>
    <xf numFmtId="0" fontId="1" fillId="0" borderId="0" xfId="0" applyFont="1" applyAlignment="1">
      <alignment horizontal="center"/>
    </xf>
    <xf numFmtId="0" fontId="1" fillId="2" borderId="0" xfId="0" applyFont="1" applyFill="1" applyAlignment="1">
      <alignment horizontal="center"/>
    </xf>
    <xf numFmtId="49" fontId="0" fillId="0" borderId="2" xfId="0" applyNumberFormat="1" applyBorder="1" applyAlignment="1">
      <alignment horizontal="right"/>
    </xf>
    <xf numFmtId="0" fontId="0" fillId="0" borderId="1" xfId="0" applyBorder="1" applyAlignment="1">
      <alignment horizontal="center" wrapText="1"/>
    </xf>
    <xf numFmtId="0" fontId="0" fillId="0" borderId="1" xfId="0" applyBorder="1" applyAlignment="1">
      <alignment horizontal="center" vertical="center"/>
    </xf>
    <xf numFmtId="0" fontId="0" fillId="0" borderId="1" xfId="0" applyBorder="1" applyAlignment="1">
      <alignment horizontal="center" vertical="center" wrapText="1"/>
    </xf>
    <xf numFmtId="0" fontId="0" fillId="0" borderId="1" xfId="0" applyBorder="1" applyAlignment="1">
      <alignment horizontal="center" vertical="center"/>
    </xf>
    <xf numFmtId="49" fontId="0" fillId="0" borderId="1" xfId="0" applyNumberFormat="1" applyBorder="1" applyAlignment="1">
      <alignment horizontal="center" vertical="center"/>
    </xf>
    <xf numFmtId="0" fontId="0" fillId="0" borderId="0" xfId="0" applyFill="1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0" fillId="0" borderId="0" xfId="0" applyAlignment="1">
      <alignment horizontal="center" vertical="center"/>
    </xf>
    <xf numFmtId="49" fontId="0" fillId="0" borderId="0" xfId="0" applyNumberFormat="1" applyAlignment="1">
      <alignment horizontal="center" vertical="center"/>
    </xf>
    <xf numFmtId="0" fontId="1" fillId="0" borderId="0" xfId="0" applyFont="1" applyAlignment="1">
      <alignment horizontal="center" vertical="center"/>
    </xf>
    <xf numFmtId="0" fontId="1" fillId="2" borderId="0" xfId="0" applyFont="1" applyFill="1" applyAlignment="1">
      <alignment horizontal="center" vertical="center"/>
    </xf>
    <xf numFmtId="0" fontId="0" fillId="2" borderId="0" xfId="0" applyFill="1" applyAlignment="1">
      <alignment horizontal="center" vertical="center"/>
    </xf>
  </cellXfs>
  <cellStyles count="1">
    <cellStyle name="Обычный" xfId="0" builtinId="0"/>
  </cellStyles>
  <dxfs count="14">
    <dxf>
      <border>
        <left style="thin">
          <color theme="1"/>
        </left>
        <right style="thin">
          <color theme="1"/>
        </right>
        <top style="thin">
          <color theme="1"/>
        </top>
        <bottom style="thin">
          <color theme="1"/>
        </bottom>
        <vertical/>
        <horizontal/>
      </border>
    </dxf>
    <dxf>
      <border>
        <left style="thin">
          <color theme="0"/>
        </left>
        <right style="thin">
          <color theme="0"/>
        </right>
        <top style="thin">
          <color theme="0"/>
        </top>
        <bottom style="thin">
          <color theme="0"/>
        </bottom>
        <vertical/>
        <horizontal/>
      </border>
    </dxf>
    <dxf>
      <border>
        <left style="thin">
          <color theme="0"/>
        </left>
        <right style="thin">
          <color theme="0"/>
        </right>
        <top style="thin">
          <color theme="0"/>
        </top>
        <bottom style="thin">
          <color theme="0"/>
        </bottom>
        <vertical/>
        <horizontal/>
      </border>
    </dxf>
    <dxf>
      <border>
        <left style="thin">
          <color theme="1"/>
        </left>
        <right style="thin">
          <color theme="1"/>
        </right>
        <top style="thin">
          <color theme="1"/>
        </top>
        <bottom style="thin">
          <color theme="1"/>
        </bottom>
        <vertical/>
        <horizontal/>
      </border>
    </dxf>
    <dxf>
      <border>
        <left style="thin">
          <color theme="0"/>
        </left>
        <right style="thin">
          <color theme="0"/>
        </right>
        <top style="thin">
          <color theme="0"/>
        </top>
        <bottom style="thin">
          <color theme="0"/>
        </bottom>
        <vertical/>
        <horizontal/>
      </border>
    </dxf>
    <dxf>
      <border>
        <left style="thin">
          <color theme="1"/>
        </left>
        <right style="thin">
          <color theme="1"/>
        </right>
        <top style="thin">
          <color theme="1"/>
        </top>
        <bottom style="thin">
          <color theme="1"/>
        </bottom>
        <vertical/>
        <horizontal/>
      </border>
    </dxf>
    <dxf>
      <border>
        <left style="thin">
          <color theme="0"/>
        </left>
        <right style="thin">
          <color theme="0"/>
        </right>
        <top style="thin">
          <color theme="0"/>
        </top>
        <bottom style="thin">
          <color theme="0"/>
        </bottom>
        <vertical/>
        <horizontal/>
      </border>
    </dxf>
    <dxf>
      <border>
        <left style="thin">
          <color theme="1"/>
        </left>
        <right style="thin">
          <color theme="1"/>
        </right>
        <top style="thin">
          <color theme="1"/>
        </top>
        <bottom style="thin">
          <color theme="1"/>
        </bottom>
        <vertical/>
        <horizontal/>
      </border>
    </dxf>
    <dxf>
      <border>
        <left style="thin">
          <color theme="0"/>
        </left>
        <right style="thin">
          <color theme="0"/>
        </right>
        <top style="thin">
          <color theme="0"/>
        </top>
        <bottom style="thin">
          <color theme="0"/>
        </bottom>
        <vertical/>
        <horizontal/>
      </border>
    </dxf>
    <dxf>
      <border>
        <left style="thin">
          <color theme="0"/>
        </left>
        <right style="thin">
          <color theme="0"/>
        </right>
        <top style="thin">
          <color theme="0"/>
        </top>
        <bottom style="thin">
          <color theme="0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theme="0"/>
        </left>
        <right style="thin">
          <color theme="0"/>
        </right>
        <top style="thin">
          <color theme="0"/>
        </top>
        <bottom style="thin">
          <color theme="0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12</xdr:col>
      <xdr:colOff>75869</xdr:colOff>
      <xdr:row>2</xdr:row>
      <xdr:rowOff>73217</xdr:rowOff>
    </xdr:from>
    <xdr:to>
      <xdr:col>20</xdr:col>
      <xdr:colOff>364435</xdr:colOff>
      <xdr:row>16</xdr:row>
      <xdr:rowOff>119268</xdr:rowOff>
    </xdr:to>
    <xdr:pic>
      <xdr:nvPicPr>
        <xdr:cNvPr id="2" name="Рисунок 1"/>
        <xdr:cNvPicPr/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7391069" y="450904"/>
          <a:ext cx="5165366" cy="2643477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W93"/>
  <sheetViews>
    <sheetView tabSelected="1" topLeftCell="A40" zoomScale="115" zoomScaleNormal="115" workbookViewId="0">
      <selection activeCell="J5" sqref="J5"/>
    </sheetView>
  </sheetViews>
  <sheetFormatPr defaultRowHeight="14.4" x14ac:dyDescent="0.3"/>
  <cols>
    <col min="36" max="36" width="7.6640625" bestFit="1" customWidth="1"/>
    <col min="37" max="50" width="5.33203125" customWidth="1"/>
  </cols>
  <sheetData>
    <row r="1" spans="1:11" s="18" customFormat="1" ht="15" thickBot="1" x14ac:dyDescent="0.35">
      <c r="A1" s="17" t="s">
        <v>0</v>
      </c>
    </row>
    <row r="3" spans="1:11" x14ac:dyDescent="0.3">
      <c r="B3" s="1" t="s">
        <v>1</v>
      </c>
      <c r="C3" s="1" t="s">
        <v>2</v>
      </c>
      <c r="D3" s="1" t="s">
        <v>3</v>
      </c>
      <c r="E3" s="1" t="s">
        <v>4</v>
      </c>
      <c r="F3" s="1" t="s">
        <v>5</v>
      </c>
      <c r="G3" s="1" t="s">
        <v>6</v>
      </c>
      <c r="H3" s="1" t="s">
        <v>7</v>
      </c>
    </row>
    <row r="4" spans="1:11" x14ac:dyDescent="0.3">
      <c r="B4" s="1">
        <v>0.3</v>
      </c>
      <c r="C4" s="1">
        <v>0.2</v>
      </c>
      <c r="D4" s="1">
        <v>0.15</v>
      </c>
      <c r="E4" s="1">
        <v>0.1</v>
      </c>
      <c r="F4" s="1">
        <v>0.1</v>
      </c>
      <c r="G4" s="1">
        <v>0.08</v>
      </c>
      <c r="H4" s="1">
        <v>7.0000000000000007E-2</v>
      </c>
    </row>
    <row r="7" spans="1:11" x14ac:dyDescent="0.3">
      <c r="B7" s="1" t="s">
        <v>8</v>
      </c>
      <c r="C7" s="1" t="s">
        <v>9</v>
      </c>
      <c r="E7" s="21" t="s">
        <v>8</v>
      </c>
      <c r="F7" s="27" t="s">
        <v>41</v>
      </c>
      <c r="G7" s="21" t="s">
        <v>43</v>
      </c>
      <c r="H7" s="21"/>
      <c r="I7" s="21"/>
      <c r="J7" s="21"/>
      <c r="K7" s="21"/>
    </row>
    <row r="8" spans="1:11" x14ac:dyDescent="0.3">
      <c r="B8" s="2" t="s">
        <v>1</v>
      </c>
      <c r="C8" s="26" t="s">
        <v>26</v>
      </c>
      <c r="E8" s="21"/>
      <c r="F8" s="27"/>
      <c r="G8" s="22">
        <v>1</v>
      </c>
      <c r="H8" s="22">
        <v>2</v>
      </c>
      <c r="I8" s="22">
        <v>3</v>
      </c>
      <c r="J8" s="22">
        <v>4</v>
      </c>
      <c r="K8" s="22" t="s">
        <v>42</v>
      </c>
    </row>
    <row r="9" spans="1:11" x14ac:dyDescent="0.3">
      <c r="B9" s="2" t="s">
        <v>2</v>
      </c>
      <c r="C9" s="26" t="s">
        <v>27</v>
      </c>
      <c r="E9" s="22" t="s">
        <v>1</v>
      </c>
      <c r="F9" s="22">
        <v>0.3</v>
      </c>
      <c r="G9" s="21">
        <v>0</v>
      </c>
      <c r="H9" s="22">
        <v>0</v>
      </c>
      <c r="I9" s="21"/>
      <c r="J9" s="21"/>
      <c r="K9" s="12" t="s">
        <v>26</v>
      </c>
    </row>
    <row r="10" spans="1:11" x14ac:dyDescent="0.3">
      <c r="B10" s="2" t="s">
        <v>3</v>
      </c>
      <c r="C10" s="2">
        <v>100</v>
      </c>
      <c r="E10" s="22" t="s">
        <v>2</v>
      </c>
      <c r="F10" s="22">
        <v>0.2</v>
      </c>
      <c r="G10" s="21"/>
      <c r="H10" s="22">
        <v>1</v>
      </c>
      <c r="I10" s="21"/>
      <c r="J10" s="21"/>
      <c r="K10" s="12" t="s">
        <v>27</v>
      </c>
    </row>
    <row r="11" spans="1:11" x14ac:dyDescent="0.3">
      <c r="B11" s="2" t="s">
        <v>4</v>
      </c>
      <c r="C11" s="2">
        <v>101</v>
      </c>
      <c r="E11" s="22" t="s">
        <v>3</v>
      </c>
      <c r="F11" s="22">
        <v>0.15</v>
      </c>
      <c r="G11" s="21">
        <v>1</v>
      </c>
      <c r="H11" s="21">
        <v>0</v>
      </c>
      <c r="I11" s="22">
        <v>0</v>
      </c>
      <c r="J11" s="21"/>
      <c r="K11" s="12" t="s">
        <v>37</v>
      </c>
    </row>
    <row r="12" spans="1:11" x14ac:dyDescent="0.3">
      <c r="B12" s="2" t="s">
        <v>5</v>
      </c>
      <c r="C12" s="2">
        <v>110</v>
      </c>
      <c r="E12" s="22" t="s">
        <v>4</v>
      </c>
      <c r="F12" s="22">
        <v>0.1</v>
      </c>
      <c r="G12" s="21"/>
      <c r="H12" s="21"/>
      <c r="I12" s="22">
        <v>1</v>
      </c>
      <c r="J12" s="21"/>
      <c r="K12" s="12" t="s">
        <v>36</v>
      </c>
    </row>
    <row r="13" spans="1:11" x14ac:dyDescent="0.3">
      <c r="B13" s="2" t="s">
        <v>6</v>
      </c>
      <c r="C13" s="2">
        <v>1110</v>
      </c>
      <c r="E13" s="22" t="s">
        <v>5</v>
      </c>
      <c r="F13" s="22">
        <v>0.1</v>
      </c>
      <c r="G13" s="21"/>
      <c r="H13" s="21">
        <v>1</v>
      </c>
      <c r="I13" s="22">
        <v>0</v>
      </c>
      <c r="J13" s="21"/>
      <c r="K13" s="12" t="s">
        <v>38</v>
      </c>
    </row>
    <row r="14" spans="1:11" x14ac:dyDescent="0.3">
      <c r="B14" s="3" t="s">
        <v>7</v>
      </c>
      <c r="C14" s="3">
        <v>1111</v>
      </c>
      <c r="E14" s="22" t="s">
        <v>6</v>
      </c>
      <c r="F14" s="22">
        <v>0.08</v>
      </c>
      <c r="G14" s="21"/>
      <c r="H14" s="21"/>
      <c r="I14" s="21">
        <v>1</v>
      </c>
      <c r="J14" s="22">
        <v>0</v>
      </c>
      <c r="K14" s="12" t="s">
        <v>44</v>
      </c>
    </row>
    <row r="15" spans="1:11" x14ac:dyDescent="0.3">
      <c r="E15" s="22" t="s">
        <v>7</v>
      </c>
      <c r="F15" s="22">
        <v>7.0000000000000007E-2</v>
      </c>
      <c r="G15" s="21"/>
      <c r="H15" s="21"/>
      <c r="I15" s="21"/>
      <c r="J15" s="22">
        <v>1</v>
      </c>
      <c r="K15" s="12" t="s">
        <v>45</v>
      </c>
    </row>
    <row r="20" spans="1:20" ht="15" thickBot="1" x14ac:dyDescent="0.35"/>
    <row r="21" spans="1:20" s="18" customFormat="1" ht="15" thickBot="1" x14ac:dyDescent="0.35">
      <c r="A21" s="17" t="s">
        <v>10</v>
      </c>
    </row>
    <row r="23" spans="1:20" x14ac:dyDescent="0.3">
      <c r="B23" t="s">
        <v>8</v>
      </c>
      <c r="C23" t="s">
        <v>11</v>
      </c>
      <c r="F23" s="1" t="s">
        <v>8</v>
      </c>
      <c r="G23" s="1" t="s">
        <v>9</v>
      </c>
      <c r="H23" s="19" t="s">
        <v>19</v>
      </c>
      <c r="I23" s="19"/>
      <c r="J23" s="19"/>
      <c r="K23" s="19"/>
      <c r="L23" s="19"/>
      <c r="M23" s="19"/>
      <c r="N23" s="19"/>
      <c r="O23" s="19"/>
      <c r="P23" s="19"/>
      <c r="Q23" s="19"/>
      <c r="R23" s="19"/>
      <c r="S23" s="19"/>
      <c r="T23" s="19"/>
    </row>
    <row r="24" spans="1:20" x14ac:dyDescent="0.3">
      <c r="B24" t="s">
        <v>12</v>
      </c>
      <c r="C24">
        <v>0.2</v>
      </c>
      <c r="F24" s="1" t="s">
        <v>12</v>
      </c>
      <c r="G24" s="12" t="str">
        <f>I24</f>
        <v>10</v>
      </c>
      <c r="H24" s="14">
        <v>0.2</v>
      </c>
      <c r="I24" s="13" t="s">
        <v>28</v>
      </c>
      <c r="J24" s="7">
        <v>0.2</v>
      </c>
      <c r="K24" s="7" t="s">
        <v>28</v>
      </c>
      <c r="L24" s="8">
        <f>SUM(J28:J29)</f>
        <v>0.22999999999999998</v>
      </c>
      <c r="M24" s="7" t="s">
        <v>27</v>
      </c>
      <c r="N24" s="8">
        <f>SUM(L27:L28)</f>
        <v>0.37</v>
      </c>
      <c r="O24" s="7" t="s">
        <v>26</v>
      </c>
      <c r="P24" s="8">
        <f>SUM(N26:N27)</f>
        <v>0.4</v>
      </c>
      <c r="Q24" s="7" t="s">
        <v>25</v>
      </c>
      <c r="R24" s="9">
        <f>SUM(P25:P26)</f>
        <v>0.6</v>
      </c>
      <c r="S24" s="7">
        <v>0</v>
      </c>
      <c r="T24" s="10">
        <f>SUM(R24:R25)</f>
        <v>1</v>
      </c>
    </row>
    <row r="25" spans="1:20" x14ac:dyDescent="0.3">
      <c r="B25" t="s">
        <v>13</v>
      </c>
      <c r="C25">
        <v>0.2</v>
      </c>
      <c r="F25" s="1" t="s">
        <v>13</v>
      </c>
      <c r="G25" s="12" t="str">
        <f t="shared" ref="G25:G30" si="0">I25</f>
        <v>11</v>
      </c>
      <c r="H25" s="15">
        <v>0.2</v>
      </c>
      <c r="I25" s="13" t="s">
        <v>29</v>
      </c>
      <c r="J25" s="7">
        <v>0.2</v>
      </c>
      <c r="K25" s="7" t="s">
        <v>29</v>
      </c>
      <c r="L25" s="7">
        <v>0.2</v>
      </c>
      <c r="M25" s="7" t="s">
        <v>28</v>
      </c>
      <c r="N25" s="7">
        <v>0.23</v>
      </c>
      <c r="O25" s="7" t="s">
        <v>27</v>
      </c>
      <c r="P25" s="11">
        <v>0.37</v>
      </c>
      <c r="Q25" s="7" t="s">
        <v>26</v>
      </c>
      <c r="R25" s="11">
        <v>0.4</v>
      </c>
      <c r="S25" s="7">
        <v>1</v>
      </c>
      <c r="T25" s="4"/>
    </row>
    <row r="26" spans="1:20" x14ac:dyDescent="0.3">
      <c r="B26" t="s">
        <v>14</v>
      </c>
      <c r="C26">
        <v>0.19</v>
      </c>
      <c r="F26" s="1" t="s">
        <v>14</v>
      </c>
      <c r="G26" s="12" t="str">
        <f t="shared" si="0"/>
        <v>000</v>
      </c>
      <c r="H26" s="15">
        <v>0.19</v>
      </c>
      <c r="I26" s="13" t="s">
        <v>31</v>
      </c>
      <c r="J26" s="7">
        <v>0.19</v>
      </c>
      <c r="K26" s="7" t="s">
        <v>31</v>
      </c>
      <c r="L26" s="7">
        <v>0.2</v>
      </c>
      <c r="M26" s="7" t="s">
        <v>29</v>
      </c>
      <c r="N26" s="11">
        <v>0.2</v>
      </c>
      <c r="O26" s="7" t="s">
        <v>28</v>
      </c>
      <c r="P26" s="11">
        <v>0.23</v>
      </c>
      <c r="Q26" s="7" t="s">
        <v>27</v>
      </c>
      <c r="R26" s="7"/>
      <c r="S26" s="7"/>
      <c r="T26" s="4"/>
    </row>
    <row r="27" spans="1:20" x14ac:dyDescent="0.3">
      <c r="B27" t="s">
        <v>15</v>
      </c>
      <c r="C27">
        <v>0.12</v>
      </c>
      <c r="F27" s="1" t="s">
        <v>15</v>
      </c>
      <c r="G27" s="12" t="str">
        <f t="shared" si="0"/>
        <v>010</v>
      </c>
      <c r="H27" s="15">
        <v>0.12</v>
      </c>
      <c r="I27" s="13" t="s">
        <v>32</v>
      </c>
      <c r="J27" s="8">
        <f>SUM(H29:H30)</f>
        <v>0.18</v>
      </c>
      <c r="K27" s="7" t="s">
        <v>30</v>
      </c>
      <c r="L27" s="11">
        <v>0.19</v>
      </c>
      <c r="M27" s="7" t="s">
        <v>31</v>
      </c>
      <c r="N27" s="11">
        <v>0.2</v>
      </c>
      <c r="O27" s="7" t="s">
        <v>29</v>
      </c>
      <c r="P27" s="7"/>
      <c r="Q27" s="7"/>
      <c r="R27" s="7"/>
      <c r="S27" s="7"/>
      <c r="T27" s="4"/>
    </row>
    <row r="28" spans="1:20" x14ac:dyDescent="0.3">
      <c r="B28" t="s">
        <v>16</v>
      </c>
      <c r="C28">
        <v>0.11</v>
      </c>
      <c r="F28" s="1" t="s">
        <v>16</v>
      </c>
      <c r="G28" s="12" t="str">
        <f t="shared" si="0"/>
        <v>011</v>
      </c>
      <c r="H28" s="15">
        <v>0.11</v>
      </c>
      <c r="I28" s="13" t="s">
        <v>33</v>
      </c>
      <c r="J28" s="11">
        <v>0.12</v>
      </c>
      <c r="K28" s="7" t="s">
        <v>32</v>
      </c>
      <c r="L28" s="11">
        <v>0.18</v>
      </c>
      <c r="M28" s="7" t="s">
        <v>30</v>
      </c>
      <c r="N28" s="7"/>
      <c r="O28" s="7"/>
      <c r="P28" s="7"/>
      <c r="Q28" s="7"/>
      <c r="R28" s="7"/>
      <c r="S28" s="7"/>
      <c r="T28" s="4"/>
    </row>
    <row r="29" spans="1:20" x14ac:dyDescent="0.3">
      <c r="B29" t="s">
        <v>17</v>
      </c>
      <c r="C29">
        <v>0.09</v>
      </c>
      <c r="F29" s="1" t="s">
        <v>17</v>
      </c>
      <c r="G29" s="12" t="str">
        <f t="shared" si="0"/>
        <v>0010</v>
      </c>
      <c r="H29" s="16">
        <v>0.09</v>
      </c>
      <c r="I29" s="13" t="s">
        <v>34</v>
      </c>
      <c r="J29" s="11">
        <v>0.11</v>
      </c>
      <c r="K29" s="7" t="s">
        <v>33</v>
      </c>
      <c r="L29" s="7"/>
      <c r="M29" s="7"/>
      <c r="N29" s="7"/>
      <c r="O29" s="7"/>
      <c r="P29" s="7"/>
      <c r="Q29" s="7"/>
      <c r="R29" s="7"/>
      <c r="S29" s="7"/>
      <c r="T29" s="4"/>
    </row>
    <row r="30" spans="1:20" x14ac:dyDescent="0.3">
      <c r="B30" t="s">
        <v>18</v>
      </c>
      <c r="C30">
        <v>0.09</v>
      </c>
      <c r="F30" s="1" t="s">
        <v>18</v>
      </c>
      <c r="G30" s="12" t="str">
        <f t="shared" si="0"/>
        <v>0011</v>
      </c>
      <c r="H30" s="16">
        <v>0.09</v>
      </c>
      <c r="I30" s="13" t="s">
        <v>35</v>
      </c>
      <c r="J30" s="7"/>
      <c r="K30" s="7"/>
      <c r="L30" s="7"/>
      <c r="M30" s="7"/>
      <c r="N30" s="7"/>
      <c r="O30" s="7"/>
      <c r="P30" s="7"/>
      <c r="Q30" s="7"/>
      <c r="R30" s="7"/>
      <c r="S30" s="7"/>
      <c r="T30" s="4"/>
    </row>
    <row r="33" spans="1:16" x14ac:dyDescent="0.3">
      <c r="B33" t="s">
        <v>20</v>
      </c>
      <c r="E33" s="21" t="s">
        <v>8</v>
      </c>
      <c r="F33" s="27" t="s">
        <v>46</v>
      </c>
      <c r="G33" s="21" t="s">
        <v>47</v>
      </c>
      <c r="H33" s="21"/>
      <c r="I33" s="21"/>
      <c r="J33" s="21"/>
      <c r="L33" s="1" t="s">
        <v>8</v>
      </c>
      <c r="M33" s="22" t="s">
        <v>9</v>
      </c>
    </row>
    <row r="34" spans="1:16" x14ac:dyDescent="0.3">
      <c r="B34" s="5" t="s">
        <v>21</v>
      </c>
      <c r="C34" t="s">
        <v>22</v>
      </c>
      <c r="E34" s="21"/>
      <c r="F34" s="27"/>
      <c r="G34" s="22">
        <v>1</v>
      </c>
      <c r="H34" s="22">
        <v>2</v>
      </c>
      <c r="I34" s="22">
        <v>3</v>
      </c>
      <c r="J34" s="22" t="s">
        <v>9</v>
      </c>
      <c r="L34" s="22" t="s">
        <v>12</v>
      </c>
      <c r="M34" s="12" t="s">
        <v>26</v>
      </c>
    </row>
    <row r="35" spans="1:16" x14ac:dyDescent="0.3">
      <c r="B35" s="6" t="s">
        <v>24</v>
      </c>
      <c r="C35" t="s">
        <v>23</v>
      </c>
      <c r="E35" s="22" t="s">
        <v>12</v>
      </c>
      <c r="F35" s="22">
        <v>0.2</v>
      </c>
      <c r="G35" s="21">
        <v>0</v>
      </c>
      <c r="H35" s="22">
        <v>0</v>
      </c>
      <c r="I35" s="22"/>
      <c r="J35" s="12" t="s">
        <v>26</v>
      </c>
      <c r="L35" s="22" t="s">
        <v>13</v>
      </c>
      <c r="M35" s="12" t="s">
        <v>32</v>
      </c>
    </row>
    <row r="36" spans="1:16" x14ac:dyDescent="0.3">
      <c r="E36" s="22" t="s">
        <v>13</v>
      </c>
      <c r="F36" s="22">
        <v>0.2</v>
      </c>
      <c r="G36" s="21"/>
      <c r="H36" s="21">
        <v>1</v>
      </c>
      <c r="I36" s="22">
        <v>0</v>
      </c>
      <c r="J36" s="12" t="s">
        <v>32</v>
      </c>
      <c r="L36" s="22" t="s">
        <v>14</v>
      </c>
      <c r="M36" s="12" t="s">
        <v>33</v>
      </c>
    </row>
    <row r="37" spans="1:16" x14ac:dyDescent="0.3">
      <c r="E37" s="22" t="s">
        <v>14</v>
      </c>
      <c r="F37" s="22">
        <v>0.19</v>
      </c>
      <c r="G37" s="21"/>
      <c r="H37" s="21"/>
      <c r="I37" s="22">
        <v>1</v>
      </c>
      <c r="J37" s="12" t="s">
        <v>33</v>
      </c>
      <c r="L37" s="22" t="s">
        <v>15</v>
      </c>
      <c r="M37" s="12" t="s">
        <v>37</v>
      </c>
    </row>
    <row r="38" spans="1:16" x14ac:dyDescent="0.3">
      <c r="E38" s="22" t="s">
        <v>15</v>
      </c>
      <c r="F38" s="22">
        <v>0.12</v>
      </c>
      <c r="G38" s="21">
        <v>1</v>
      </c>
      <c r="H38" s="21">
        <v>0</v>
      </c>
      <c r="I38" s="22">
        <v>0</v>
      </c>
      <c r="J38" s="12" t="s">
        <v>37</v>
      </c>
      <c r="L38" s="22" t="s">
        <v>16</v>
      </c>
      <c r="M38" s="12" t="s">
        <v>36</v>
      </c>
    </row>
    <row r="39" spans="1:16" x14ac:dyDescent="0.3">
      <c r="E39" s="22" t="s">
        <v>16</v>
      </c>
      <c r="F39" s="22">
        <v>0.11</v>
      </c>
      <c r="G39" s="21"/>
      <c r="H39" s="21"/>
      <c r="I39" s="22">
        <v>1</v>
      </c>
      <c r="J39" s="12" t="s">
        <v>36</v>
      </c>
      <c r="L39" s="22" t="s">
        <v>17</v>
      </c>
      <c r="M39" s="12" t="s">
        <v>38</v>
      </c>
    </row>
    <row r="40" spans="1:16" x14ac:dyDescent="0.3">
      <c r="E40" s="22" t="s">
        <v>17</v>
      </c>
      <c r="F40" s="22">
        <v>0.09</v>
      </c>
      <c r="G40" s="21"/>
      <c r="H40" s="21">
        <v>1</v>
      </c>
      <c r="I40" s="22">
        <v>0</v>
      </c>
      <c r="J40" s="12" t="s">
        <v>38</v>
      </c>
      <c r="L40" s="22" t="s">
        <v>18</v>
      </c>
      <c r="M40" s="12" t="s">
        <v>39</v>
      </c>
    </row>
    <row r="41" spans="1:16" x14ac:dyDescent="0.3">
      <c r="E41" s="22" t="s">
        <v>18</v>
      </c>
      <c r="F41" s="22">
        <v>0.09</v>
      </c>
      <c r="G41" s="21"/>
      <c r="H41" s="21"/>
      <c r="I41" s="22">
        <v>1</v>
      </c>
      <c r="J41" s="12" t="s">
        <v>39</v>
      </c>
    </row>
    <row r="45" spans="1:16" ht="15" thickBot="1" x14ac:dyDescent="0.35"/>
    <row r="46" spans="1:16" s="18" customFormat="1" ht="15" thickBot="1" x14ac:dyDescent="0.35">
      <c r="A46" s="17" t="s">
        <v>40</v>
      </c>
    </row>
    <row r="48" spans="1:16" x14ac:dyDescent="0.3">
      <c r="A48" s="22" t="s">
        <v>8</v>
      </c>
      <c r="B48" s="22" t="s">
        <v>9</v>
      </c>
      <c r="C48" t="s">
        <v>11</v>
      </c>
      <c r="F48" s="4" t="s">
        <v>8</v>
      </c>
      <c r="G48" s="4" t="s">
        <v>9</v>
      </c>
      <c r="H48" s="20" t="s">
        <v>19</v>
      </c>
      <c r="I48" s="20"/>
      <c r="J48" s="20"/>
      <c r="K48" s="20"/>
      <c r="L48" s="20"/>
      <c r="M48" s="20"/>
      <c r="N48" s="20"/>
      <c r="O48" s="20"/>
      <c r="P48" s="20"/>
    </row>
    <row r="49" spans="1:17" x14ac:dyDescent="0.3">
      <c r="A49" s="22" t="s">
        <v>12</v>
      </c>
      <c r="B49" s="22">
        <v>10</v>
      </c>
      <c r="C49">
        <v>0.22</v>
      </c>
      <c r="F49" s="4" t="s">
        <v>13</v>
      </c>
      <c r="G49" s="4">
        <v>0</v>
      </c>
      <c r="H49" s="4">
        <v>0.57999999999999996</v>
      </c>
      <c r="I49" s="4">
        <v>0</v>
      </c>
      <c r="J49" s="4">
        <f>H49</f>
        <v>0.57999999999999996</v>
      </c>
      <c r="K49" s="4">
        <v>0</v>
      </c>
      <c r="L49" s="4">
        <f>J49</f>
        <v>0.57999999999999996</v>
      </c>
      <c r="M49" s="4">
        <v>0</v>
      </c>
      <c r="N49" s="23">
        <f>0.58</f>
        <v>0.57999999999999996</v>
      </c>
      <c r="O49" s="4">
        <v>0</v>
      </c>
      <c r="P49" s="24">
        <f>SUM(N49:N50)</f>
        <v>1</v>
      </c>
    </row>
    <row r="50" spans="1:17" x14ac:dyDescent="0.3">
      <c r="A50" s="22" t="s">
        <v>13</v>
      </c>
      <c r="B50" s="22">
        <v>0</v>
      </c>
      <c r="C50">
        <v>0.57999999999999996</v>
      </c>
      <c r="F50" s="4" t="s">
        <v>12</v>
      </c>
      <c r="G50" s="4">
        <v>10</v>
      </c>
      <c r="H50" s="4">
        <v>0.22</v>
      </c>
      <c r="I50" s="4">
        <v>10</v>
      </c>
      <c r="J50" s="4">
        <f>H50</f>
        <v>0.22</v>
      </c>
      <c r="K50" s="4">
        <v>10</v>
      </c>
      <c r="L50" s="23">
        <f>J50</f>
        <v>0.22</v>
      </c>
      <c r="M50" s="4">
        <v>10</v>
      </c>
      <c r="N50" s="25">
        <f>SUM(L50:L51)</f>
        <v>0.42000000000000004</v>
      </c>
      <c r="O50" s="4">
        <v>1</v>
      </c>
      <c r="P50" s="4"/>
    </row>
    <row r="51" spans="1:17" x14ac:dyDescent="0.3">
      <c r="A51" s="22" t="s">
        <v>14</v>
      </c>
      <c r="B51" s="22">
        <v>1111</v>
      </c>
      <c r="C51">
        <v>0.01</v>
      </c>
      <c r="F51" s="4" t="s">
        <v>16</v>
      </c>
      <c r="G51" s="4">
        <v>110</v>
      </c>
      <c r="H51" s="4">
        <v>0.16</v>
      </c>
      <c r="I51" s="4">
        <v>110</v>
      </c>
      <c r="J51" s="23">
        <f>H51</f>
        <v>0.16</v>
      </c>
      <c r="K51" s="4">
        <v>110</v>
      </c>
      <c r="L51" s="25">
        <f>SUM(J51:J52)</f>
        <v>0.2</v>
      </c>
      <c r="M51" s="4">
        <v>11</v>
      </c>
      <c r="N51" s="4"/>
      <c r="O51" s="4"/>
      <c r="P51" s="4"/>
    </row>
    <row r="52" spans="1:17" x14ac:dyDescent="0.3">
      <c r="A52" s="22" t="s">
        <v>15</v>
      </c>
      <c r="B52" s="22">
        <v>1110</v>
      </c>
      <c r="C52">
        <v>0.03</v>
      </c>
      <c r="F52" s="4" t="s">
        <v>15</v>
      </c>
      <c r="G52" s="4">
        <v>1110</v>
      </c>
      <c r="H52" s="23">
        <v>0.03</v>
      </c>
      <c r="I52" s="4">
        <v>1110</v>
      </c>
      <c r="J52" s="25">
        <f>SUM(H52:H53)</f>
        <v>0.04</v>
      </c>
      <c r="K52" s="4">
        <v>111</v>
      </c>
      <c r="L52" s="4"/>
      <c r="M52" s="4"/>
      <c r="N52" s="4"/>
      <c r="O52" s="4"/>
      <c r="P52" s="4"/>
    </row>
    <row r="53" spans="1:17" x14ac:dyDescent="0.3">
      <c r="A53" s="22" t="s">
        <v>16</v>
      </c>
      <c r="B53" s="22">
        <v>110</v>
      </c>
      <c r="C53">
        <v>0.16</v>
      </c>
      <c r="F53" s="4" t="s">
        <v>14</v>
      </c>
      <c r="G53" s="4">
        <v>1111</v>
      </c>
      <c r="H53" s="23">
        <v>0.01</v>
      </c>
      <c r="I53" s="4">
        <v>1111</v>
      </c>
      <c r="J53" s="4"/>
      <c r="K53" s="4"/>
      <c r="L53" s="4"/>
      <c r="M53" s="4"/>
      <c r="N53" s="4"/>
      <c r="O53" s="4"/>
      <c r="P53" s="4"/>
    </row>
    <row r="56" spans="1:17" ht="15" thickBot="1" x14ac:dyDescent="0.35"/>
    <row r="57" spans="1:17" s="18" customFormat="1" ht="15" thickBot="1" x14ac:dyDescent="0.35">
      <c r="A57" s="17" t="s">
        <v>48</v>
      </c>
    </row>
    <row r="59" spans="1:17" x14ac:dyDescent="0.3">
      <c r="E59" s="28" t="s">
        <v>8</v>
      </c>
      <c r="F59" s="29" t="s">
        <v>46</v>
      </c>
      <c r="G59" s="28" t="s">
        <v>47</v>
      </c>
      <c r="H59" s="28"/>
      <c r="I59" s="28"/>
      <c r="J59" s="28"/>
      <c r="K59" s="28"/>
      <c r="L59" s="28"/>
    </row>
    <row r="60" spans="1:17" x14ac:dyDescent="0.3">
      <c r="A60" t="s">
        <v>8</v>
      </c>
      <c r="B60" t="s">
        <v>11</v>
      </c>
      <c r="E60" s="28"/>
      <c r="F60" s="29"/>
      <c r="G60" s="30">
        <v>1</v>
      </c>
      <c r="H60" s="30">
        <v>2</v>
      </c>
      <c r="I60" s="30">
        <v>3</v>
      </c>
      <c r="J60" s="30">
        <v>4</v>
      </c>
      <c r="K60" s="30">
        <v>5</v>
      </c>
      <c r="L60" s="30" t="s">
        <v>9</v>
      </c>
      <c r="N60" t="s">
        <v>62</v>
      </c>
      <c r="O60">
        <f>SUM(N61:N69)</f>
        <v>2.7548334761403823</v>
      </c>
      <c r="P60" t="s">
        <v>63</v>
      </c>
      <c r="Q60">
        <f>SUM(P61:P69)</f>
        <v>2.8400000000000003</v>
      </c>
    </row>
    <row r="61" spans="1:17" x14ac:dyDescent="0.3">
      <c r="A61" t="s">
        <v>49</v>
      </c>
      <c r="B61">
        <v>0.35</v>
      </c>
      <c r="E61" s="30" t="s">
        <v>49</v>
      </c>
      <c r="F61" s="30">
        <v>0.35</v>
      </c>
      <c r="G61" s="28">
        <v>0</v>
      </c>
      <c r="H61" s="30">
        <v>0</v>
      </c>
      <c r="I61" s="28"/>
      <c r="J61" s="28"/>
      <c r="K61" s="28"/>
      <c r="L61" s="31" t="s">
        <v>26</v>
      </c>
      <c r="M61">
        <v>2</v>
      </c>
      <c r="N61">
        <f>-F61*LOG(F61,2)</f>
        <v>0.53010061049041546</v>
      </c>
      <c r="P61">
        <f>M61*F61</f>
        <v>0.7</v>
      </c>
    </row>
    <row r="62" spans="1:17" x14ac:dyDescent="0.3">
      <c r="A62" t="s">
        <v>50</v>
      </c>
      <c r="B62">
        <v>0.15</v>
      </c>
      <c r="E62" s="30" t="s">
        <v>50</v>
      </c>
      <c r="F62" s="30">
        <v>0.15</v>
      </c>
      <c r="G62" s="28"/>
      <c r="H62" s="30">
        <v>1</v>
      </c>
      <c r="I62" s="28"/>
      <c r="J62" s="28"/>
      <c r="K62" s="28"/>
      <c r="L62" s="31" t="s">
        <v>27</v>
      </c>
      <c r="M62">
        <v>2</v>
      </c>
      <c r="N62">
        <f t="shared" ref="N62:N69" si="1">-F62*LOG(F62,2)</f>
        <v>0.41054483912493089</v>
      </c>
      <c r="P62">
        <f t="shared" ref="P62:P69" si="2">M62*F62</f>
        <v>0.3</v>
      </c>
    </row>
    <row r="63" spans="1:17" x14ac:dyDescent="0.3">
      <c r="A63" t="s">
        <v>51</v>
      </c>
      <c r="B63">
        <v>0.13</v>
      </c>
      <c r="E63" s="30" t="s">
        <v>51</v>
      </c>
      <c r="F63" s="30">
        <v>0.13</v>
      </c>
      <c r="G63" s="28">
        <v>1</v>
      </c>
      <c r="H63" s="28">
        <v>0</v>
      </c>
      <c r="I63" s="30">
        <v>0</v>
      </c>
      <c r="J63" s="28"/>
      <c r="K63" s="28"/>
      <c r="L63" s="31" t="s">
        <v>37</v>
      </c>
      <c r="M63">
        <v>3</v>
      </c>
      <c r="N63">
        <f t="shared" si="1"/>
        <v>0.38264414131237223</v>
      </c>
      <c r="P63">
        <f t="shared" si="2"/>
        <v>0.39</v>
      </c>
    </row>
    <row r="64" spans="1:17" x14ac:dyDescent="0.3">
      <c r="A64" t="s">
        <v>52</v>
      </c>
      <c r="B64">
        <v>0.09</v>
      </c>
      <c r="E64" s="30" t="s">
        <v>52</v>
      </c>
      <c r="F64" s="30">
        <v>0.09</v>
      </c>
      <c r="G64" s="28"/>
      <c r="H64" s="28"/>
      <c r="I64" s="30">
        <v>1</v>
      </c>
      <c r="J64" s="28"/>
      <c r="K64" s="28"/>
      <c r="L64" s="31" t="s">
        <v>36</v>
      </c>
      <c r="M64">
        <v>3</v>
      </c>
      <c r="N64">
        <f t="shared" si="1"/>
        <v>0.31265380694991712</v>
      </c>
      <c r="P64">
        <f t="shared" si="2"/>
        <v>0.27</v>
      </c>
    </row>
    <row r="65" spans="1:23" x14ac:dyDescent="0.3">
      <c r="A65" t="s">
        <v>53</v>
      </c>
      <c r="B65">
        <v>0.09</v>
      </c>
      <c r="E65" s="30" t="s">
        <v>53</v>
      </c>
      <c r="F65" s="30">
        <v>0.09</v>
      </c>
      <c r="G65" s="28"/>
      <c r="H65" s="28">
        <v>1</v>
      </c>
      <c r="I65" s="28">
        <v>0</v>
      </c>
      <c r="J65" s="30">
        <v>0</v>
      </c>
      <c r="K65" s="28"/>
      <c r="L65" s="31" t="s">
        <v>58</v>
      </c>
      <c r="M65">
        <v>4</v>
      </c>
      <c r="N65">
        <f t="shared" si="1"/>
        <v>0.31265380694991712</v>
      </c>
      <c r="P65">
        <f t="shared" si="2"/>
        <v>0.36</v>
      </c>
    </row>
    <row r="66" spans="1:23" x14ac:dyDescent="0.3">
      <c r="A66" t="s">
        <v>54</v>
      </c>
      <c r="B66">
        <v>0.08</v>
      </c>
      <c r="E66" s="30" t="s">
        <v>54</v>
      </c>
      <c r="F66" s="30">
        <v>0.08</v>
      </c>
      <c r="G66" s="28"/>
      <c r="H66" s="28"/>
      <c r="I66" s="28"/>
      <c r="J66" s="30">
        <v>1</v>
      </c>
      <c r="K66" s="28"/>
      <c r="L66" s="31" t="s">
        <v>59</v>
      </c>
      <c r="M66">
        <v>4</v>
      </c>
      <c r="N66">
        <f t="shared" si="1"/>
        <v>0.29150849518197802</v>
      </c>
      <c r="P66">
        <f t="shared" si="2"/>
        <v>0.32</v>
      </c>
    </row>
    <row r="67" spans="1:23" x14ac:dyDescent="0.3">
      <c r="A67" t="s">
        <v>55</v>
      </c>
      <c r="B67">
        <v>0.05</v>
      </c>
      <c r="E67" s="30" t="s">
        <v>55</v>
      </c>
      <c r="F67" s="30">
        <v>0.05</v>
      </c>
      <c r="G67" s="28"/>
      <c r="H67" s="28"/>
      <c r="I67" s="28">
        <v>1</v>
      </c>
      <c r="J67" s="30">
        <v>0</v>
      </c>
      <c r="K67" s="28"/>
      <c r="L67" s="31" t="s">
        <v>44</v>
      </c>
      <c r="M67">
        <v>4</v>
      </c>
      <c r="N67">
        <f t="shared" si="1"/>
        <v>0.21609640474436814</v>
      </c>
      <c r="P67">
        <f t="shared" si="2"/>
        <v>0.2</v>
      </c>
    </row>
    <row r="68" spans="1:23" x14ac:dyDescent="0.3">
      <c r="A68" t="s">
        <v>56</v>
      </c>
      <c r="B68">
        <v>0.04</v>
      </c>
      <c r="E68" s="30" t="s">
        <v>56</v>
      </c>
      <c r="F68" s="30">
        <v>0.04</v>
      </c>
      <c r="G68" s="28"/>
      <c r="H68" s="28"/>
      <c r="I68" s="28"/>
      <c r="J68" s="28">
        <v>1</v>
      </c>
      <c r="K68" s="30">
        <v>0</v>
      </c>
      <c r="L68" s="31" t="s">
        <v>60</v>
      </c>
      <c r="M68">
        <v>5</v>
      </c>
      <c r="N68">
        <f t="shared" si="1"/>
        <v>0.18575424759098899</v>
      </c>
      <c r="P68">
        <f t="shared" si="2"/>
        <v>0.2</v>
      </c>
    </row>
    <row r="69" spans="1:23" x14ac:dyDescent="0.3">
      <c r="A69" t="s">
        <v>57</v>
      </c>
      <c r="B69">
        <v>0.02</v>
      </c>
      <c r="E69" s="30" t="s">
        <v>57</v>
      </c>
      <c r="F69" s="30">
        <v>0.02</v>
      </c>
      <c r="G69" s="28"/>
      <c r="H69" s="28"/>
      <c r="I69" s="28"/>
      <c r="J69" s="28"/>
      <c r="K69" s="30">
        <v>1</v>
      </c>
      <c r="L69" s="31" t="s">
        <v>61</v>
      </c>
      <c r="M69">
        <v>5</v>
      </c>
      <c r="N69">
        <f t="shared" si="1"/>
        <v>0.11287712379549449</v>
      </c>
      <c r="P69">
        <f t="shared" si="2"/>
        <v>0.1</v>
      </c>
    </row>
    <row r="72" spans="1:23" x14ac:dyDescent="0.3">
      <c r="E72" s="32" t="s">
        <v>8</v>
      </c>
      <c r="F72" s="33" t="s">
        <v>42</v>
      </c>
      <c r="G72" s="34" t="s">
        <v>64</v>
      </c>
      <c r="H72" s="34"/>
      <c r="I72" s="34"/>
      <c r="J72" s="34"/>
      <c r="K72" s="34"/>
      <c r="L72" s="34"/>
      <c r="M72" s="34"/>
      <c r="N72" s="34"/>
      <c r="O72" s="34"/>
      <c r="P72" s="34"/>
      <c r="Q72" s="34"/>
      <c r="R72" s="34"/>
      <c r="S72" s="34"/>
      <c r="T72" s="34"/>
      <c r="U72" s="34"/>
      <c r="V72" s="34"/>
      <c r="W72" s="34"/>
    </row>
    <row r="73" spans="1:23" x14ac:dyDescent="0.3">
      <c r="E73" s="33" t="s">
        <v>49</v>
      </c>
      <c r="F73" s="35" t="s">
        <v>26</v>
      </c>
      <c r="G73" s="33">
        <v>0.35</v>
      </c>
      <c r="H73" s="35" t="s">
        <v>26</v>
      </c>
      <c r="I73" s="33">
        <f>G73</f>
        <v>0.35</v>
      </c>
      <c r="J73" s="35" t="s">
        <v>26</v>
      </c>
      <c r="K73" s="33">
        <f>I73</f>
        <v>0.35</v>
      </c>
      <c r="L73" s="35" t="s">
        <v>26</v>
      </c>
      <c r="M73" s="33">
        <f>K73</f>
        <v>0.35</v>
      </c>
      <c r="N73" s="35" t="s">
        <v>26</v>
      </c>
      <c r="O73" s="33">
        <f>M73</f>
        <v>0.35</v>
      </c>
      <c r="P73" s="35" t="s">
        <v>26</v>
      </c>
      <c r="Q73" s="33">
        <f>O73</f>
        <v>0.35</v>
      </c>
      <c r="R73" s="35" t="s">
        <v>26</v>
      </c>
      <c r="S73" s="36">
        <f>SUM(Q75:Q76)</f>
        <v>0.37</v>
      </c>
      <c r="T73" s="35">
        <v>1</v>
      </c>
      <c r="U73" s="37">
        <f>SUM(S74:S75)</f>
        <v>0.63</v>
      </c>
      <c r="V73" s="35">
        <v>0</v>
      </c>
      <c r="W73" s="36">
        <f>SUM(U73:U74)</f>
        <v>1</v>
      </c>
    </row>
    <row r="74" spans="1:23" x14ac:dyDescent="0.3">
      <c r="E74" s="33" t="s">
        <v>50</v>
      </c>
      <c r="F74" s="35" t="s">
        <v>32</v>
      </c>
      <c r="G74" s="33">
        <v>0.15</v>
      </c>
      <c r="H74" s="35" t="s">
        <v>32</v>
      </c>
      <c r="I74" s="33">
        <f>G74</f>
        <v>0.15</v>
      </c>
      <c r="J74" s="35" t="s">
        <v>32</v>
      </c>
      <c r="K74" s="33">
        <f>I74</f>
        <v>0.15</v>
      </c>
      <c r="L74" s="35" t="s">
        <v>32</v>
      </c>
      <c r="M74" s="36">
        <f>SUM(K78:K79)</f>
        <v>0.16999999999999998</v>
      </c>
      <c r="N74" s="35" t="s">
        <v>29</v>
      </c>
      <c r="O74" s="36">
        <f>SUM(M77:M78)</f>
        <v>0.2</v>
      </c>
      <c r="P74" s="35" t="s">
        <v>28</v>
      </c>
      <c r="Q74" s="36">
        <f>SUM(O76:O77)</f>
        <v>0.28000000000000003</v>
      </c>
      <c r="R74" s="35" t="s">
        <v>27</v>
      </c>
      <c r="S74" s="38">
        <f>Q73</f>
        <v>0.35</v>
      </c>
      <c r="T74" s="35" t="s">
        <v>26</v>
      </c>
      <c r="U74" s="38">
        <f>S73</f>
        <v>0.37</v>
      </c>
      <c r="V74" s="35">
        <v>1</v>
      </c>
      <c r="W74" s="33"/>
    </row>
    <row r="75" spans="1:23" x14ac:dyDescent="0.3">
      <c r="E75" s="33" t="s">
        <v>51</v>
      </c>
      <c r="F75" s="35" t="s">
        <v>33</v>
      </c>
      <c r="G75" s="33">
        <v>0.13</v>
      </c>
      <c r="H75" s="35" t="s">
        <v>33</v>
      </c>
      <c r="I75" s="33">
        <f t="shared" ref="I75:I79" si="3">G75</f>
        <v>0.13</v>
      </c>
      <c r="J75" s="35" t="s">
        <v>33</v>
      </c>
      <c r="K75" s="33">
        <f>I75</f>
        <v>0.13</v>
      </c>
      <c r="L75" s="35" t="s">
        <v>33</v>
      </c>
      <c r="M75" s="33">
        <f>K74</f>
        <v>0.15</v>
      </c>
      <c r="N75" s="35" t="s">
        <v>32</v>
      </c>
      <c r="O75" s="33">
        <f>M74</f>
        <v>0.16999999999999998</v>
      </c>
      <c r="P75" s="35" t="s">
        <v>29</v>
      </c>
      <c r="Q75" s="38">
        <f>O74</f>
        <v>0.2</v>
      </c>
      <c r="R75" s="35" t="s">
        <v>28</v>
      </c>
      <c r="S75" s="38">
        <f>Q74</f>
        <v>0.28000000000000003</v>
      </c>
      <c r="T75" s="35" t="s">
        <v>27</v>
      </c>
      <c r="U75" s="33"/>
      <c r="V75" s="33"/>
      <c r="W75" s="33"/>
    </row>
    <row r="76" spans="1:23" x14ac:dyDescent="0.3">
      <c r="E76" s="33" t="s">
        <v>52</v>
      </c>
      <c r="F76" s="35" t="s">
        <v>36</v>
      </c>
      <c r="G76" s="33">
        <v>0.09</v>
      </c>
      <c r="H76" s="35" t="s">
        <v>36</v>
      </c>
      <c r="I76" s="33">
        <f t="shared" si="3"/>
        <v>0.09</v>
      </c>
      <c r="J76" s="35" t="s">
        <v>36</v>
      </c>
      <c r="K76" s="36">
        <f>SUM(I79:I80)</f>
        <v>0.11</v>
      </c>
      <c r="L76" s="35" t="s">
        <v>37</v>
      </c>
      <c r="M76" s="33">
        <f t="shared" ref="M76:M78" si="4">K75</f>
        <v>0.13</v>
      </c>
      <c r="N76" s="35" t="s">
        <v>33</v>
      </c>
      <c r="O76" s="38">
        <f t="shared" ref="O76:O77" si="5">M75</f>
        <v>0.15</v>
      </c>
      <c r="P76" s="35" t="s">
        <v>32</v>
      </c>
      <c r="Q76" s="38">
        <f>O75</f>
        <v>0.16999999999999998</v>
      </c>
      <c r="R76" s="35" t="s">
        <v>29</v>
      </c>
      <c r="S76" s="33"/>
      <c r="T76" s="33"/>
      <c r="U76" s="33"/>
      <c r="V76" s="33"/>
      <c r="W76" s="33"/>
    </row>
    <row r="77" spans="1:23" x14ac:dyDescent="0.3">
      <c r="E77" s="33" t="s">
        <v>53</v>
      </c>
      <c r="F77" s="35" t="s">
        <v>38</v>
      </c>
      <c r="G77" s="33">
        <v>0.09</v>
      </c>
      <c r="H77" s="35" t="s">
        <v>38</v>
      </c>
      <c r="I77" s="33">
        <f t="shared" si="3"/>
        <v>0.09</v>
      </c>
      <c r="J77" s="35" t="s">
        <v>38</v>
      </c>
      <c r="K77" s="33">
        <f>I76</f>
        <v>0.09</v>
      </c>
      <c r="L77" s="35" t="s">
        <v>36</v>
      </c>
      <c r="M77" s="38">
        <f t="shared" si="4"/>
        <v>0.11</v>
      </c>
      <c r="N77" s="35" t="s">
        <v>37</v>
      </c>
      <c r="O77" s="38">
        <f t="shared" si="5"/>
        <v>0.13</v>
      </c>
      <c r="P77" s="35" t="s">
        <v>33</v>
      </c>
      <c r="Q77" s="33"/>
      <c r="R77" s="33"/>
      <c r="S77" s="33"/>
      <c r="T77" s="33"/>
      <c r="U77" s="33"/>
      <c r="V77" s="33"/>
      <c r="W77" s="33"/>
    </row>
    <row r="78" spans="1:23" x14ac:dyDescent="0.3">
      <c r="E78" s="33" t="s">
        <v>54</v>
      </c>
      <c r="F78" s="35" t="s">
        <v>39</v>
      </c>
      <c r="G78" s="33">
        <v>0.08</v>
      </c>
      <c r="H78" s="35" t="s">
        <v>39</v>
      </c>
      <c r="I78" s="33">
        <f t="shared" si="3"/>
        <v>0.08</v>
      </c>
      <c r="J78" s="35" t="s">
        <v>39</v>
      </c>
      <c r="K78" s="38">
        <f>I77</f>
        <v>0.09</v>
      </c>
      <c r="L78" s="35" t="s">
        <v>38</v>
      </c>
      <c r="M78" s="38">
        <f t="shared" si="4"/>
        <v>0.09</v>
      </c>
      <c r="N78" s="35" t="s">
        <v>36</v>
      </c>
      <c r="O78" s="33"/>
      <c r="P78" s="33"/>
      <c r="Q78" s="33"/>
      <c r="R78" s="33"/>
      <c r="S78" s="33"/>
      <c r="T78" s="33"/>
      <c r="U78" s="33"/>
      <c r="V78" s="33"/>
      <c r="W78" s="33"/>
    </row>
    <row r="79" spans="1:23" x14ac:dyDescent="0.3">
      <c r="E79" s="33" t="s">
        <v>55</v>
      </c>
      <c r="F79" s="35" t="s">
        <v>66</v>
      </c>
      <c r="G79" s="33">
        <v>0.05</v>
      </c>
      <c r="H79" s="35" t="s">
        <v>66</v>
      </c>
      <c r="I79" s="37">
        <f>SUM(G80:G81)</f>
        <v>0.06</v>
      </c>
      <c r="J79" s="35" t="s">
        <v>65</v>
      </c>
      <c r="K79" s="38">
        <f>I78</f>
        <v>0.08</v>
      </c>
      <c r="L79" s="35" t="s">
        <v>39</v>
      </c>
      <c r="M79" s="33"/>
      <c r="N79" s="33"/>
      <c r="O79" s="33"/>
      <c r="P79" s="33"/>
      <c r="Q79" s="33"/>
      <c r="R79" s="33"/>
      <c r="S79" s="33"/>
      <c r="T79" s="33"/>
      <c r="U79" s="33"/>
      <c r="V79" s="33"/>
      <c r="W79" s="33"/>
    </row>
    <row r="80" spans="1:23" x14ac:dyDescent="0.3">
      <c r="E80" s="33" t="s">
        <v>56</v>
      </c>
      <c r="F80" s="35" t="s">
        <v>67</v>
      </c>
      <c r="G80" s="38">
        <v>0.04</v>
      </c>
      <c r="H80" s="35" t="s">
        <v>67</v>
      </c>
      <c r="I80" s="38">
        <f>G79</f>
        <v>0.05</v>
      </c>
      <c r="J80" s="35" t="s">
        <v>66</v>
      </c>
      <c r="K80" s="33"/>
      <c r="L80" s="33"/>
      <c r="M80" s="33"/>
      <c r="N80" s="33"/>
      <c r="O80" s="33"/>
      <c r="P80" s="33"/>
      <c r="Q80" s="33"/>
      <c r="R80" s="33"/>
      <c r="S80" s="33"/>
      <c r="T80" s="33"/>
      <c r="U80" s="33"/>
      <c r="V80" s="33"/>
      <c r="W80" s="33"/>
    </row>
    <row r="81" spans="5:23" x14ac:dyDescent="0.3">
      <c r="E81" s="33" t="s">
        <v>57</v>
      </c>
      <c r="F81" s="35" t="s">
        <v>68</v>
      </c>
      <c r="G81" s="38">
        <v>0.02</v>
      </c>
      <c r="H81" s="35" t="s">
        <v>68</v>
      </c>
      <c r="I81" s="33"/>
      <c r="J81" s="33"/>
      <c r="K81" s="33"/>
      <c r="L81" s="33"/>
      <c r="M81" s="33"/>
      <c r="N81" s="33"/>
      <c r="O81" s="33"/>
      <c r="P81" s="33"/>
      <c r="Q81" s="33"/>
      <c r="R81" s="33"/>
      <c r="S81" s="33"/>
      <c r="T81" s="33"/>
      <c r="U81" s="33"/>
      <c r="V81" s="33"/>
      <c r="W81" s="33"/>
    </row>
    <row r="84" spans="5:23" x14ac:dyDescent="0.3">
      <c r="E84" s="32" t="s">
        <v>8</v>
      </c>
      <c r="F84" s="33" t="s">
        <v>42</v>
      </c>
      <c r="G84" s="1" t="s">
        <v>11</v>
      </c>
      <c r="I84" t="s">
        <v>62</v>
      </c>
      <c r="J84">
        <f>SUM(I85:I93)</f>
        <v>2.7548334761403823</v>
      </c>
      <c r="K84" t="s">
        <v>69</v>
      </c>
      <c r="L84">
        <f>SUM(K85:K93)</f>
        <v>2.8200000000000007</v>
      </c>
    </row>
    <row r="85" spans="5:23" x14ac:dyDescent="0.3">
      <c r="E85" s="33" t="s">
        <v>49</v>
      </c>
      <c r="F85" s="35" t="s">
        <v>26</v>
      </c>
      <c r="G85" s="1">
        <v>0.35</v>
      </c>
      <c r="H85">
        <v>2</v>
      </c>
      <c r="I85">
        <f>-G85*LOG(G85,2)</f>
        <v>0.53010061049041546</v>
      </c>
      <c r="K85">
        <f>H85*G85</f>
        <v>0.7</v>
      </c>
    </row>
    <row r="86" spans="5:23" x14ac:dyDescent="0.3">
      <c r="E86" s="33" t="s">
        <v>50</v>
      </c>
      <c r="F86" s="35" t="s">
        <v>32</v>
      </c>
      <c r="G86" s="1">
        <v>0.15</v>
      </c>
      <c r="H86">
        <v>3</v>
      </c>
      <c r="I86">
        <f t="shared" ref="I86:I93" si="6">-G86*LOG(G86,2)</f>
        <v>0.41054483912493089</v>
      </c>
      <c r="K86">
        <f t="shared" ref="K86:K93" si="7">H86*G86</f>
        <v>0.44999999999999996</v>
      </c>
    </row>
    <row r="87" spans="5:23" x14ac:dyDescent="0.3">
      <c r="E87" s="33" t="s">
        <v>51</v>
      </c>
      <c r="F87" s="35" t="s">
        <v>33</v>
      </c>
      <c r="G87" s="1">
        <v>0.13</v>
      </c>
      <c r="H87">
        <v>3</v>
      </c>
      <c r="I87">
        <f t="shared" si="6"/>
        <v>0.38264414131237223</v>
      </c>
      <c r="K87">
        <f t="shared" si="7"/>
        <v>0.39</v>
      </c>
    </row>
    <row r="88" spans="5:23" x14ac:dyDescent="0.3">
      <c r="E88" s="33" t="s">
        <v>52</v>
      </c>
      <c r="F88" s="35" t="s">
        <v>36</v>
      </c>
      <c r="G88" s="1">
        <v>0.09</v>
      </c>
      <c r="H88">
        <v>3</v>
      </c>
      <c r="I88">
        <f t="shared" si="6"/>
        <v>0.31265380694991712</v>
      </c>
      <c r="K88">
        <f t="shared" si="7"/>
        <v>0.27</v>
      </c>
    </row>
    <row r="89" spans="5:23" x14ac:dyDescent="0.3">
      <c r="E89" s="33" t="s">
        <v>53</v>
      </c>
      <c r="F89" s="35" t="s">
        <v>38</v>
      </c>
      <c r="G89" s="1">
        <v>0.09</v>
      </c>
      <c r="H89">
        <v>3</v>
      </c>
      <c r="I89">
        <f t="shared" si="6"/>
        <v>0.31265380694991712</v>
      </c>
      <c r="K89">
        <f t="shared" si="7"/>
        <v>0.27</v>
      </c>
    </row>
    <row r="90" spans="5:23" x14ac:dyDescent="0.3">
      <c r="E90" s="33" t="s">
        <v>54</v>
      </c>
      <c r="F90" s="35" t="s">
        <v>39</v>
      </c>
      <c r="G90" s="1">
        <v>0.08</v>
      </c>
      <c r="H90">
        <v>3</v>
      </c>
      <c r="I90">
        <f t="shared" si="6"/>
        <v>0.29150849518197802</v>
      </c>
      <c r="K90">
        <f t="shared" si="7"/>
        <v>0.24</v>
      </c>
    </row>
    <row r="91" spans="5:23" x14ac:dyDescent="0.3">
      <c r="E91" s="33" t="s">
        <v>55</v>
      </c>
      <c r="F91" s="35" t="s">
        <v>66</v>
      </c>
      <c r="G91" s="1">
        <v>0.05</v>
      </c>
      <c r="H91">
        <v>4</v>
      </c>
      <c r="I91">
        <f t="shared" si="6"/>
        <v>0.21609640474436814</v>
      </c>
      <c r="K91">
        <f t="shared" si="7"/>
        <v>0.2</v>
      </c>
    </row>
    <row r="92" spans="5:23" x14ac:dyDescent="0.3">
      <c r="E92" s="33" t="s">
        <v>56</v>
      </c>
      <c r="F92" s="35" t="s">
        <v>67</v>
      </c>
      <c r="G92" s="1">
        <v>0.04</v>
      </c>
      <c r="H92">
        <v>5</v>
      </c>
      <c r="I92">
        <f t="shared" si="6"/>
        <v>0.18575424759098899</v>
      </c>
      <c r="K92">
        <f t="shared" si="7"/>
        <v>0.2</v>
      </c>
    </row>
    <row r="93" spans="5:23" x14ac:dyDescent="0.3">
      <c r="E93" s="33" t="s">
        <v>57</v>
      </c>
      <c r="F93" s="35" t="s">
        <v>68</v>
      </c>
      <c r="G93" s="1">
        <v>0.02</v>
      </c>
      <c r="H93">
        <v>5</v>
      </c>
      <c r="I93">
        <f t="shared" si="6"/>
        <v>0.11287712379549449</v>
      </c>
      <c r="K93">
        <f t="shared" si="7"/>
        <v>0.1</v>
      </c>
    </row>
  </sheetData>
  <mergeCells count="38">
    <mergeCell ref="G72:W72"/>
    <mergeCell ref="A57:XFD57"/>
    <mergeCell ref="E59:E60"/>
    <mergeCell ref="F59:F60"/>
    <mergeCell ref="G61:G62"/>
    <mergeCell ref="G63:G69"/>
    <mergeCell ref="H63:H64"/>
    <mergeCell ref="H65:H69"/>
    <mergeCell ref="I65:I66"/>
    <mergeCell ref="I67:I69"/>
    <mergeCell ref="J68:J69"/>
    <mergeCell ref="G59:L59"/>
    <mergeCell ref="I61:I62"/>
    <mergeCell ref="J61:J64"/>
    <mergeCell ref="K61:K67"/>
    <mergeCell ref="I9:I10"/>
    <mergeCell ref="J9:J13"/>
    <mergeCell ref="E33:E34"/>
    <mergeCell ref="F33:F34"/>
    <mergeCell ref="G35:G37"/>
    <mergeCell ref="H36:H37"/>
    <mergeCell ref="G33:J33"/>
    <mergeCell ref="A46:XFD46"/>
    <mergeCell ref="H48:P48"/>
    <mergeCell ref="G38:G41"/>
    <mergeCell ref="H38:H39"/>
    <mergeCell ref="H40:H41"/>
    <mergeCell ref="A21:XFD21"/>
    <mergeCell ref="A1:XFD1"/>
    <mergeCell ref="H23:T23"/>
    <mergeCell ref="G9:G10"/>
    <mergeCell ref="G11:G15"/>
    <mergeCell ref="E7:E8"/>
    <mergeCell ref="F7:F8"/>
    <mergeCell ref="H11:H12"/>
    <mergeCell ref="H13:H15"/>
    <mergeCell ref="I14:I15"/>
    <mergeCell ref="G7:K7"/>
  </mergeCells>
  <conditionalFormatting sqref="I24:T30">
    <cfRule type="notContainsBlanks" dxfId="13" priority="9">
      <formula>LEN(TRIM(I24))&gt;0</formula>
    </cfRule>
    <cfRule type="containsBlanks" dxfId="12" priority="10">
      <formula>LEN(TRIM(I24))=0</formula>
    </cfRule>
  </conditionalFormatting>
  <conditionalFormatting sqref="F48:P53">
    <cfRule type="notContainsBlanks" dxfId="10" priority="5">
      <formula>LEN(TRIM(F48))&gt;0</formula>
    </cfRule>
    <cfRule type="containsBlanks" dxfId="9" priority="6">
      <formula>LEN(TRIM(F48))=0</formula>
    </cfRule>
  </conditionalFormatting>
  <conditionalFormatting sqref="E72:W81">
    <cfRule type="containsBlanks" dxfId="8" priority="4">
      <formula>LEN(TRIM(E72))=0</formula>
    </cfRule>
    <cfRule type="notContainsBlanks" dxfId="7" priority="3">
      <formula>LEN(TRIM(E72))&gt;0</formula>
    </cfRule>
  </conditionalFormatting>
  <conditionalFormatting sqref="E84:F93">
    <cfRule type="notContainsBlanks" dxfId="0" priority="1">
      <formula>LEN(TRIM(E84))&gt;0</formula>
    </cfRule>
    <cfRule type="containsBlanks" dxfId="1" priority="2">
      <formula>LEN(TRIM(E84))=0</formula>
    </cfRule>
  </conditionalFormatting>
  <pageMargins left="0.7" right="0.7" top="0.75" bottom="0.75" header="0.3" footer="0.3"/>
  <pageSetup paperSize="9" orientation="portrait" verticalDpi="0" r:id="rId1"/>
  <ignoredErrors>
    <ignoredError sqref="I25:Q26 I24:M24 Q24 O24 I28:Q30 I27 K27:Q27 C8:C9 K9:K15 J35:J41 M34:M40 L61:L69 F73:T81 F85:F93" numberStoredAsText="1"/>
    <ignoredError sqref="P24 N24 J27" numberStoredAsText="1" formulaRange="1"/>
    <ignoredError sqref="J52" formulaRange="1"/>
  </ignoredErrors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Лаб 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2015-06-05T18:19:34Z</dcterms:created>
  <dcterms:modified xsi:type="dcterms:W3CDTF">2023-05-28T14:33:27Z</dcterms:modified>
</cp:coreProperties>
</file>